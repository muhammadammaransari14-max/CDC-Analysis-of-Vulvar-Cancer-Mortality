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zBdamb7mOIKuDxViV0b1alRqCt81SEsM7qb5mAcEDs="/>
    </ext>
  </extLst>
</workbook>
</file>

<file path=xl/sharedStrings.xml><?xml version="1.0" encoding="utf-8"?>
<sst xmlns="http://schemas.openxmlformats.org/spreadsheetml/2006/main" count="151" uniqueCount="42">
  <si>
    <t>Race</t>
  </si>
  <si>
    <t>Year</t>
  </si>
  <si>
    <t>Deaths</t>
  </si>
  <si>
    <t>Age Adjusted Rate</t>
  </si>
  <si>
    <t>Age Adjusted Rate Lower 95% Confidence Interval</t>
  </si>
  <si>
    <t>Age Adjusted Rate Upper 95% Confidence Interval</t>
  </si>
  <si>
    <t>Age Adjusted Rate Standard Error</t>
  </si>
  <si>
    <t>White</t>
  </si>
  <si>
    <t>ESTIMATED JOINTPOINTS</t>
  </si>
  <si>
    <t>Cohort</t>
  </si>
  <si>
    <t>Joinpoint</t>
  </si>
  <si>
    <t>Estimate</t>
  </si>
  <si>
    <t>Lower CI</t>
  </si>
  <si>
    <t>Upper CI</t>
  </si>
  <si>
    <t>White - 2 Joinpoints</t>
  </si>
  <si>
    <t>Total</t>
  </si>
  <si>
    <t>ANNUAL PERCENTAGE CHANGE (APC)</t>
  </si>
  <si>
    <t>Black or African American</t>
  </si>
  <si>
    <t>Segment</t>
  </si>
  <si>
    <t>Lower Endpoint</t>
  </si>
  <si>
    <t>Upper Endpoint</t>
  </si>
  <si>
    <t>APC</t>
  </si>
  <si>
    <t>Prob &gt; |t|</t>
  </si>
  <si>
    <t>Test Statistic (t)</t>
  </si>
  <si>
    <t>0.8475*</t>
  </si>
  <si>
    <t>4.3172*</t>
  </si>
  <si>
    <t>Black or African American - 0 Joinpoints</t>
  </si>
  <si>
    <t>Hispanic or Latino - 0 Joinpoints</t>
  </si>
  <si>
    <t>Asian - 0 Joinpoints</t>
  </si>
  <si>
    <t>American Indian or Alaska Native - 0 Joinpoints</t>
  </si>
  <si>
    <t>AVERAGE ANNUAL PERCENTAGE CHANGE (AAPC)</t>
  </si>
  <si>
    <t>Range</t>
  </si>
  <si>
    <t>AAPC</t>
  </si>
  <si>
    <t>P-Value~</t>
  </si>
  <si>
    <t>Test Statistic~</t>
  </si>
  <si>
    <t>Full Range</t>
  </si>
  <si>
    <t>1.5450*</t>
  </si>
  <si>
    <t>Hispanic or Latino</t>
  </si>
  <si>
    <t>Asian</t>
  </si>
  <si>
    <t>American Indian or Alaska Native</t>
  </si>
  <si>
    <r>
      <rPr>
        <rFont val="Arial"/>
        <color rgb="FFFF0000"/>
      </rPr>
      <t>A</t>
    </r>
    <r>
      <rPr>
        <rFont val="Arial"/>
        <b/>
        <color rgb="FFFF0000"/>
      </rPr>
      <t>merican Indian/Alaska native were excluded from analysis before the year 2021 beacuse of suppressed values</t>
    </r>
  </si>
  <si>
    <t>Asian/pacific islander were excluded from analysis because of unreliable age adjusted rates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</si>
</sst>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0000FF"/>
      <name val="Calibri"/>
    </font>
    <font>
      <color theme="1"/>
      <name val="Calibri"/>
    </font>
    <font>
      <color theme="1"/>
      <name val="Arial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rgb="FFFF0000"/>
      <name val="Arial"/>
      <scheme val="minor"/>
    </font>
    <font>
      <b/>
      <color rgb="FFFF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4" xfId="0" applyAlignment="1" applyBorder="1" applyFill="1" applyFont="1" applyNumberFormat="1">
      <alignment horizontal="center" shrinkToFit="0" wrapText="1"/>
    </xf>
    <xf borderId="1" fillId="3" fontId="2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readingOrder="0"/>
    </xf>
    <xf borderId="1" fillId="2" fontId="7" numFmtId="0" xfId="0" applyAlignment="1" applyBorder="1" applyFill="1" applyFont="1">
      <alignment horizontal="center" shrinkToFit="0" vertical="bottom" wrapText="1"/>
    </xf>
    <xf borderId="1" fillId="2" fontId="8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horizontal="center" shrinkToFit="0" vertical="bottom" wrapText="1"/>
    </xf>
    <xf borderId="1" fillId="6" fontId="2" numFmtId="0" xfId="0" applyAlignment="1" applyBorder="1" applyFill="1" applyFont="1">
      <alignment horizontal="center" shrinkToFit="0" vertical="bottom" wrapText="1"/>
    </xf>
    <xf borderId="1" fillId="7" fontId="2" numFmtId="0" xfId="0" applyAlignment="1" applyBorder="1" applyFill="1" applyFont="1">
      <alignment horizontal="center" shrinkToFit="0" vertical="bottom" wrapText="1"/>
    </xf>
    <xf borderId="0" fillId="0" fontId="9" numFmtId="0" xfId="0" applyAlignment="1" applyFont="1">
      <alignment horizontal="center" shrinkToFit="0" vertical="bottom" wrapText="0"/>
    </xf>
    <xf borderId="0" fillId="8" fontId="9" numFmtId="0" xfId="0" applyAlignment="1" applyFill="1" applyFont="1">
      <alignment shrinkToFit="0" vertical="bottom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0</xdr:row>
      <xdr:rowOff>590550</xdr:rowOff>
    </xdr:from>
    <xdr:ext cx="6048375" cy="403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88"/>
    <col customWidth="1" min="2" max="6" width="12.63"/>
    <col customWidth="1" min="9" max="9" width="36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3" t="s">
        <v>7</v>
      </c>
      <c r="B2" s="4">
        <v>1999.0</v>
      </c>
      <c r="C2" s="5">
        <v>852.0</v>
      </c>
      <c r="D2" s="5">
        <v>1.13</v>
      </c>
      <c r="E2" s="5">
        <v>1.06</v>
      </c>
      <c r="F2" s="5">
        <v>1.21</v>
      </c>
      <c r="G2" s="5">
        <v>0.04</v>
      </c>
    </row>
    <row r="3" ht="15.75" customHeight="1">
      <c r="A3" s="3" t="s">
        <v>7</v>
      </c>
      <c r="B3" s="4">
        <v>2000.0</v>
      </c>
      <c r="C3" s="5">
        <v>860.0</v>
      </c>
      <c r="D3" s="5">
        <v>1.12</v>
      </c>
      <c r="E3" s="5">
        <v>1.04</v>
      </c>
      <c r="F3" s="5">
        <v>1.2</v>
      </c>
      <c r="G3" s="5">
        <v>0.04</v>
      </c>
    </row>
    <row r="4" ht="15.75" customHeight="1">
      <c r="A4" s="3" t="s">
        <v>7</v>
      </c>
      <c r="B4" s="4">
        <v>2001.0</v>
      </c>
      <c r="C4" s="5">
        <v>863.0</v>
      </c>
      <c r="D4" s="5">
        <v>1.1</v>
      </c>
      <c r="E4" s="5">
        <v>1.03</v>
      </c>
      <c r="F4" s="5">
        <v>1.18</v>
      </c>
      <c r="G4" s="5">
        <v>0.04</v>
      </c>
    </row>
    <row r="5" ht="15.75" customHeight="1">
      <c r="A5" s="3" t="s">
        <v>7</v>
      </c>
      <c r="B5" s="4">
        <v>2002.0</v>
      </c>
      <c r="C5" s="5">
        <v>908.0</v>
      </c>
      <c r="D5" s="5">
        <v>1.19</v>
      </c>
      <c r="E5" s="5">
        <v>1.11</v>
      </c>
      <c r="F5" s="5">
        <v>1.27</v>
      </c>
      <c r="G5" s="5">
        <v>0.04</v>
      </c>
    </row>
    <row r="6" ht="15.75" customHeight="1">
      <c r="A6" s="3" t="s">
        <v>7</v>
      </c>
      <c r="B6" s="4">
        <v>2003.0</v>
      </c>
      <c r="C6" s="5">
        <v>882.0</v>
      </c>
      <c r="D6" s="5">
        <v>1.14</v>
      </c>
      <c r="E6" s="5">
        <v>1.07</v>
      </c>
      <c r="F6" s="5">
        <v>1.22</v>
      </c>
      <c r="G6" s="5">
        <v>0.04</v>
      </c>
    </row>
    <row r="7" ht="15.75" customHeight="1">
      <c r="A7" s="3" t="s">
        <v>7</v>
      </c>
      <c r="B7" s="4">
        <v>2004.0</v>
      </c>
      <c r="C7" s="5">
        <v>869.0</v>
      </c>
      <c r="D7" s="5">
        <v>1.12</v>
      </c>
      <c r="E7" s="5">
        <v>1.05</v>
      </c>
      <c r="F7" s="5">
        <v>1.2</v>
      </c>
      <c r="G7" s="5">
        <v>0.04</v>
      </c>
    </row>
    <row r="8" ht="15.75" customHeight="1">
      <c r="A8" s="3" t="s">
        <v>7</v>
      </c>
      <c r="B8" s="4">
        <v>2005.0</v>
      </c>
      <c r="C8" s="5">
        <v>892.0</v>
      </c>
      <c r="D8" s="5">
        <v>1.11</v>
      </c>
      <c r="E8" s="5">
        <v>1.04</v>
      </c>
      <c r="F8" s="5">
        <v>1.19</v>
      </c>
      <c r="G8" s="5">
        <v>0.04</v>
      </c>
      <c r="S8" s="6"/>
    </row>
    <row r="9" ht="15.75" customHeight="1">
      <c r="A9" s="3" t="s">
        <v>7</v>
      </c>
      <c r="B9" s="4">
        <v>2006.0</v>
      </c>
      <c r="C9" s="5">
        <v>949.0</v>
      </c>
      <c r="D9" s="5">
        <v>1.18</v>
      </c>
      <c r="E9" s="5">
        <v>1.1</v>
      </c>
      <c r="F9" s="5">
        <v>1.25</v>
      </c>
      <c r="G9" s="5">
        <v>0.04</v>
      </c>
    </row>
    <row r="10" ht="15.75" customHeight="1">
      <c r="A10" s="3" t="s">
        <v>7</v>
      </c>
      <c r="B10" s="4">
        <v>2007.0</v>
      </c>
      <c r="C10" s="5">
        <v>959.0</v>
      </c>
      <c r="D10" s="5">
        <v>1.16</v>
      </c>
      <c r="E10" s="5">
        <v>1.09</v>
      </c>
      <c r="F10" s="5">
        <v>1.23</v>
      </c>
      <c r="G10" s="5">
        <v>0.04</v>
      </c>
    </row>
    <row r="11" ht="15.75" customHeight="1">
      <c r="A11" s="3" t="s">
        <v>7</v>
      </c>
      <c r="B11" s="4">
        <v>2008.0</v>
      </c>
      <c r="C11" s="5">
        <v>1004.0</v>
      </c>
      <c r="D11" s="5">
        <v>1.23</v>
      </c>
      <c r="E11" s="5">
        <v>1.15</v>
      </c>
      <c r="F11" s="5">
        <v>1.31</v>
      </c>
      <c r="G11" s="5">
        <v>0.04</v>
      </c>
    </row>
    <row r="12" ht="15.75" customHeight="1">
      <c r="A12" s="3" t="s">
        <v>7</v>
      </c>
      <c r="B12" s="4">
        <v>2009.0</v>
      </c>
      <c r="C12" s="5">
        <v>1008.0</v>
      </c>
      <c r="D12" s="5">
        <v>1.2</v>
      </c>
      <c r="E12" s="5">
        <v>1.13</v>
      </c>
      <c r="F12" s="5">
        <v>1.28</v>
      </c>
      <c r="G12" s="5">
        <v>0.04</v>
      </c>
    </row>
    <row r="13" ht="15.75" customHeight="1">
      <c r="A13" s="3" t="s">
        <v>7</v>
      </c>
      <c r="B13" s="4">
        <v>2010.0</v>
      </c>
      <c r="C13" s="5">
        <v>1031.0</v>
      </c>
      <c r="D13" s="5">
        <v>1.2</v>
      </c>
      <c r="E13" s="5">
        <v>1.13</v>
      </c>
      <c r="F13" s="5">
        <v>1.27</v>
      </c>
      <c r="G13" s="5">
        <v>0.04</v>
      </c>
    </row>
    <row r="14" ht="15.75" customHeight="1">
      <c r="A14" s="3" t="s">
        <v>7</v>
      </c>
      <c r="B14" s="4">
        <v>2011.0</v>
      </c>
      <c r="C14" s="5">
        <v>1075.0</v>
      </c>
      <c r="D14" s="5">
        <v>1.24</v>
      </c>
      <c r="E14" s="5">
        <v>1.17</v>
      </c>
      <c r="F14" s="5">
        <v>1.32</v>
      </c>
      <c r="G14" s="5">
        <v>0.04</v>
      </c>
    </row>
    <row r="15" ht="15.75" customHeight="1">
      <c r="A15" s="3" t="s">
        <v>7</v>
      </c>
      <c r="B15" s="4">
        <v>2012.0</v>
      </c>
      <c r="C15" s="5">
        <v>1119.0</v>
      </c>
      <c r="D15" s="5">
        <v>1.29</v>
      </c>
      <c r="E15" s="5">
        <v>1.21</v>
      </c>
      <c r="F15" s="5">
        <v>1.37</v>
      </c>
      <c r="G15" s="5">
        <v>0.04</v>
      </c>
    </row>
    <row r="16" ht="15.75" customHeight="1">
      <c r="A16" s="3" t="s">
        <v>7</v>
      </c>
      <c r="B16" s="4">
        <v>2013.0</v>
      </c>
      <c r="C16" s="5">
        <v>1069.0</v>
      </c>
      <c r="D16" s="5">
        <v>1.18</v>
      </c>
      <c r="E16" s="5">
        <v>1.11</v>
      </c>
      <c r="F16" s="5">
        <v>1.25</v>
      </c>
      <c r="G16" s="5">
        <v>0.04</v>
      </c>
    </row>
    <row r="17" ht="15.75" customHeight="1">
      <c r="A17" s="3" t="s">
        <v>7</v>
      </c>
      <c r="B17" s="4">
        <v>2014.0</v>
      </c>
      <c r="C17" s="5">
        <v>1147.0</v>
      </c>
      <c r="D17" s="5">
        <v>1.26</v>
      </c>
      <c r="E17" s="5">
        <v>1.18</v>
      </c>
      <c r="F17" s="5">
        <v>1.33</v>
      </c>
      <c r="G17" s="5">
        <v>0.04</v>
      </c>
    </row>
    <row r="18" ht="15.75" customHeight="1">
      <c r="A18" s="3" t="s">
        <v>7</v>
      </c>
      <c r="B18" s="4">
        <v>2015.0</v>
      </c>
      <c r="C18" s="5">
        <v>1161.0</v>
      </c>
      <c r="D18" s="5">
        <v>1.24</v>
      </c>
      <c r="E18" s="5">
        <v>1.17</v>
      </c>
      <c r="F18" s="5">
        <v>1.32</v>
      </c>
      <c r="G18" s="5">
        <v>0.04</v>
      </c>
    </row>
    <row r="19" ht="15.75" customHeight="1">
      <c r="A19" s="3" t="s">
        <v>7</v>
      </c>
      <c r="B19" s="4">
        <v>2016.0</v>
      </c>
      <c r="C19" s="5">
        <v>1296.0</v>
      </c>
      <c r="D19" s="5">
        <v>1.37</v>
      </c>
      <c r="E19" s="5">
        <v>1.29</v>
      </c>
      <c r="F19" s="5">
        <v>1.45</v>
      </c>
      <c r="G19" s="5">
        <v>0.04</v>
      </c>
    </row>
    <row r="20" ht="15.75" customHeight="1">
      <c r="A20" s="3" t="s">
        <v>7</v>
      </c>
      <c r="B20" s="4">
        <v>2017.0</v>
      </c>
      <c r="C20" s="5">
        <v>1334.0</v>
      </c>
      <c r="D20" s="5">
        <v>1.38</v>
      </c>
      <c r="E20" s="5">
        <v>1.31</v>
      </c>
      <c r="F20" s="5">
        <v>1.46</v>
      </c>
      <c r="G20" s="5">
        <v>0.04</v>
      </c>
    </row>
    <row r="21" ht="15.75" customHeight="1">
      <c r="A21" s="3" t="s">
        <v>7</v>
      </c>
      <c r="B21" s="4">
        <v>2018.0</v>
      </c>
      <c r="C21" s="5">
        <v>1394.0</v>
      </c>
      <c r="D21" s="5">
        <v>1.47</v>
      </c>
      <c r="E21" s="5">
        <v>1.39</v>
      </c>
      <c r="F21" s="5">
        <v>1.54</v>
      </c>
      <c r="G21" s="5">
        <v>0.04</v>
      </c>
    </row>
    <row r="22" ht="15.75" customHeight="1">
      <c r="A22" s="3" t="s">
        <v>7</v>
      </c>
      <c r="B22" s="4">
        <v>2019.0</v>
      </c>
      <c r="C22" s="5">
        <v>1398.0</v>
      </c>
      <c r="D22" s="5">
        <v>1.43</v>
      </c>
      <c r="E22" s="5">
        <v>1.35</v>
      </c>
      <c r="F22" s="5">
        <v>1.51</v>
      </c>
      <c r="G22" s="5">
        <v>0.04</v>
      </c>
    </row>
    <row r="23" ht="15.75" customHeight="1">
      <c r="A23" s="3" t="s">
        <v>7</v>
      </c>
      <c r="B23" s="4">
        <v>2020.0</v>
      </c>
      <c r="C23" s="5">
        <v>1568.0</v>
      </c>
      <c r="D23" s="5">
        <v>1.59</v>
      </c>
      <c r="E23" s="5">
        <v>1.51</v>
      </c>
      <c r="F23" s="5">
        <v>1.67</v>
      </c>
      <c r="G23" s="5">
        <v>0.04</v>
      </c>
    </row>
    <row r="24" ht="15.75" customHeight="1">
      <c r="A24" s="3" t="s">
        <v>7</v>
      </c>
      <c r="B24" s="4">
        <v>2021.0</v>
      </c>
      <c r="C24" s="5">
        <v>1557.0</v>
      </c>
      <c r="D24" s="5">
        <v>1.63</v>
      </c>
      <c r="E24" s="5">
        <v>1.54</v>
      </c>
      <c r="F24" s="5">
        <v>1.71</v>
      </c>
      <c r="G24" s="5">
        <v>0.04</v>
      </c>
      <c r="I24" s="7" t="s">
        <v>8</v>
      </c>
    </row>
    <row r="25" ht="15.75" customHeight="1">
      <c r="A25" s="3" t="s">
        <v>7</v>
      </c>
      <c r="B25" s="4">
        <v>2022.0</v>
      </c>
      <c r="C25" s="5">
        <v>1643.0</v>
      </c>
      <c r="D25" s="5">
        <v>1.66</v>
      </c>
      <c r="E25" s="5">
        <v>1.58</v>
      </c>
      <c r="F25" s="5">
        <v>1.74</v>
      </c>
      <c r="G25" s="5">
        <v>0.04</v>
      </c>
      <c r="I25" s="8" t="s">
        <v>9</v>
      </c>
      <c r="J25" s="8" t="s">
        <v>10</v>
      </c>
      <c r="K25" s="8" t="s">
        <v>11</v>
      </c>
      <c r="L25" s="8" t="s">
        <v>12</v>
      </c>
      <c r="M25" s="8" t="s">
        <v>13</v>
      </c>
      <c r="N25" s="9"/>
      <c r="O25" s="9"/>
      <c r="P25" s="9"/>
      <c r="Q25" s="9"/>
    </row>
    <row r="26" ht="15.75" customHeight="1">
      <c r="A26" s="3" t="s">
        <v>7</v>
      </c>
      <c r="B26" s="4">
        <v>2023.0</v>
      </c>
      <c r="C26" s="5">
        <v>1584.0</v>
      </c>
      <c r="D26" s="5">
        <v>1.57</v>
      </c>
      <c r="E26" s="5">
        <v>1.49</v>
      </c>
      <c r="F26" s="5">
        <v>1.65</v>
      </c>
      <c r="G26" s="5">
        <v>0.04</v>
      </c>
      <c r="I26" s="10" t="s">
        <v>14</v>
      </c>
      <c r="J26" s="10">
        <v>1.0</v>
      </c>
      <c r="K26" s="10">
        <v>2015.0</v>
      </c>
      <c r="L26" s="10">
        <v>2012.0</v>
      </c>
      <c r="M26" s="10">
        <v>2017.0</v>
      </c>
    </row>
    <row r="27" ht="15.75" customHeight="1">
      <c r="A27" s="3" t="s">
        <v>7</v>
      </c>
      <c r="B27" s="4">
        <v>2024.0</v>
      </c>
      <c r="C27" s="5">
        <v>1674.0</v>
      </c>
      <c r="D27" s="5">
        <v>1.65</v>
      </c>
      <c r="E27" s="5">
        <v>1.57</v>
      </c>
      <c r="F27" s="5">
        <v>1.74</v>
      </c>
      <c r="G27" s="5">
        <v>0.04</v>
      </c>
      <c r="I27" s="10" t="s">
        <v>14</v>
      </c>
      <c r="J27" s="10">
        <v>2.0</v>
      </c>
      <c r="K27" s="10">
        <v>2021.0</v>
      </c>
      <c r="L27" s="10">
        <v>2017.0</v>
      </c>
      <c r="M27" s="10">
        <v>2022.0</v>
      </c>
    </row>
    <row r="28" ht="15.75" customHeight="1">
      <c r="A28" s="11" t="s">
        <v>15</v>
      </c>
      <c r="B28" s="12"/>
      <c r="C28" s="12">
        <f>SUM(C2:C27)</f>
        <v>30096</v>
      </c>
      <c r="D28" s="12"/>
      <c r="E28" s="12"/>
      <c r="F28" s="12"/>
      <c r="G28" s="12"/>
      <c r="I28" s="7" t="s">
        <v>16</v>
      </c>
    </row>
    <row r="29" ht="15.75" customHeight="1">
      <c r="A29" s="13" t="s">
        <v>17</v>
      </c>
      <c r="B29" s="4">
        <v>1999.0</v>
      </c>
      <c r="C29" s="5">
        <v>63.0</v>
      </c>
      <c r="D29" s="5">
        <v>0.86</v>
      </c>
      <c r="E29" s="5">
        <v>0.66</v>
      </c>
      <c r="F29" s="5">
        <v>1.11</v>
      </c>
      <c r="G29" s="5">
        <v>0.11</v>
      </c>
      <c r="I29" s="8" t="s">
        <v>9</v>
      </c>
      <c r="J29" s="8" t="s">
        <v>18</v>
      </c>
      <c r="K29" s="8" t="s">
        <v>19</v>
      </c>
      <c r="L29" s="8" t="s">
        <v>20</v>
      </c>
      <c r="M29" s="8" t="s">
        <v>21</v>
      </c>
      <c r="N29" s="8" t="s">
        <v>12</v>
      </c>
      <c r="O29" s="8" t="s">
        <v>13</v>
      </c>
      <c r="P29" s="8" t="s">
        <v>22</v>
      </c>
      <c r="Q29" s="8" t="s">
        <v>23</v>
      </c>
    </row>
    <row r="30" ht="15.75" customHeight="1">
      <c r="A30" s="13" t="s">
        <v>17</v>
      </c>
      <c r="B30" s="4">
        <v>2000.0</v>
      </c>
      <c r="C30" s="5">
        <v>57.0</v>
      </c>
      <c r="D30" s="5">
        <v>0.76</v>
      </c>
      <c r="E30" s="5">
        <v>0.57</v>
      </c>
      <c r="F30" s="5">
        <v>0.98</v>
      </c>
      <c r="G30" s="5">
        <v>0.1</v>
      </c>
      <c r="I30" s="10" t="s">
        <v>14</v>
      </c>
      <c r="J30" s="10">
        <v>1.0</v>
      </c>
      <c r="K30" s="10">
        <v>1999.0</v>
      </c>
      <c r="L30" s="10">
        <v>2015.0</v>
      </c>
      <c r="M30" s="10" t="s">
        <v>24</v>
      </c>
      <c r="N30" s="10">
        <v>0.4521</v>
      </c>
      <c r="O30" s="10">
        <v>1.2446</v>
      </c>
      <c r="P30" s="10">
        <v>2.69E-4</v>
      </c>
      <c r="Q30" s="10">
        <v>4.5126</v>
      </c>
    </row>
    <row r="31" ht="15.75" customHeight="1">
      <c r="A31" s="13" t="s">
        <v>17</v>
      </c>
      <c r="B31" s="4">
        <v>2001.0</v>
      </c>
      <c r="C31" s="5">
        <v>77.0</v>
      </c>
      <c r="D31" s="5">
        <v>0.99</v>
      </c>
      <c r="E31" s="5">
        <v>0.78</v>
      </c>
      <c r="F31" s="5">
        <v>1.24</v>
      </c>
      <c r="G31" s="5">
        <v>0.11</v>
      </c>
      <c r="I31" s="10" t="s">
        <v>14</v>
      </c>
      <c r="J31" s="10">
        <v>2.0</v>
      </c>
      <c r="K31" s="10">
        <v>2015.0</v>
      </c>
      <c r="L31" s="10">
        <v>2021.0</v>
      </c>
      <c r="M31" s="10" t="s">
        <v>25</v>
      </c>
      <c r="N31" s="10">
        <v>2.4039</v>
      </c>
      <c r="O31" s="10">
        <v>6.2663</v>
      </c>
      <c r="P31" s="10">
        <v>1.44E-4</v>
      </c>
      <c r="Q31" s="10">
        <v>4.7969</v>
      </c>
    </row>
    <row r="32" ht="15.75" customHeight="1">
      <c r="A32" s="13" t="s">
        <v>17</v>
      </c>
      <c r="B32" s="4">
        <v>2002.0</v>
      </c>
      <c r="C32" s="5">
        <v>49.0</v>
      </c>
      <c r="D32" s="5">
        <v>0.63</v>
      </c>
      <c r="E32" s="5">
        <v>0.46</v>
      </c>
      <c r="F32" s="5">
        <v>0.83</v>
      </c>
      <c r="G32" s="5">
        <v>0.09</v>
      </c>
      <c r="I32" s="10" t="s">
        <v>14</v>
      </c>
      <c r="J32" s="10">
        <v>3.0</v>
      </c>
      <c r="K32" s="10">
        <v>2021.0</v>
      </c>
      <c r="L32" s="10">
        <v>2024.0</v>
      </c>
      <c r="M32" s="10">
        <v>-0.1776</v>
      </c>
      <c r="N32" s="10">
        <v>-3.7615</v>
      </c>
      <c r="O32" s="10">
        <v>3.5398</v>
      </c>
      <c r="P32" s="10">
        <v>0.919784</v>
      </c>
      <c r="Q32" s="10">
        <v>-0.1021</v>
      </c>
    </row>
    <row r="33" ht="15.75" customHeight="1">
      <c r="A33" s="13" t="s">
        <v>17</v>
      </c>
      <c r="B33" s="4">
        <v>2003.0</v>
      </c>
      <c r="C33" s="5">
        <v>44.0</v>
      </c>
      <c r="D33" s="5">
        <v>0.5</v>
      </c>
      <c r="E33" s="5">
        <v>0.36</v>
      </c>
      <c r="F33" s="5">
        <v>0.68</v>
      </c>
      <c r="G33" s="5">
        <v>0.08</v>
      </c>
      <c r="I33" s="10" t="s">
        <v>26</v>
      </c>
      <c r="J33" s="10">
        <v>1.0</v>
      </c>
      <c r="K33" s="10">
        <v>1999.0</v>
      </c>
      <c r="L33" s="10">
        <v>2024.0</v>
      </c>
      <c r="M33" s="10">
        <v>0.6434</v>
      </c>
      <c r="N33" s="10">
        <v>-0.2137</v>
      </c>
      <c r="O33" s="10">
        <v>1.5079</v>
      </c>
      <c r="P33" s="10">
        <v>0.134808</v>
      </c>
      <c r="Q33" s="10">
        <v>1.5476</v>
      </c>
    </row>
    <row r="34" ht="15.75" customHeight="1">
      <c r="A34" s="13" t="s">
        <v>17</v>
      </c>
      <c r="B34" s="4">
        <v>2004.0</v>
      </c>
      <c r="C34" s="5">
        <v>63.0</v>
      </c>
      <c r="D34" s="5">
        <v>0.76</v>
      </c>
      <c r="E34" s="5">
        <v>0.58</v>
      </c>
      <c r="F34" s="5">
        <v>0.98</v>
      </c>
      <c r="G34" s="5">
        <v>0.1</v>
      </c>
      <c r="I34" s="10" t="s">
        <v>27</v>
      </c>
      <c r="J34" s="10">
        <v>1.0</v>
      </c>
      <c r="K34" s="10">
        <v>1999.0</v>
      </c>
      <c r="L34" s="10">
        <v>2024.0</v>
      </c>
      <c r="M34" s="10">
        <v>0.2294</v>
      </c>
      <c r="N34" s="10">
        <v>-0.4445</v>
      </c>
      <c r="O34" s="10">
        <v>0.9079</v>
      </c>
      <c r="P34" s="10">
        <v>0.489978</v>
      </c>
      <c r="Q34" s="10">
        <v>0.7011</v>
      </c>
    </row>
    <row r="35" ht="15.75" customHeight="1">
      <c r="A35" s="13" t="s">
        <v>17</v>
      </c>
      <c r="B35" s="4">
        <v>2005.0</v>
      </c>
      <c r="C35" s="5">
        <v>56.0</v>
      </c>
      <c r="D35" s="5">
        <v>0.64</v>
      </c>
      <c r="E35" s="5">
        <v>0.48</v>
      </c>
      <c r="F35" s="5">
        <v>0.83</v>
      </c>
      <c r="G35" s="5">
        <v>0.09</v>
      </c>
      <c r="I35" s="10" t="s">
        <v>28</v>
      </c>
      <c r="J35" s="10">
        <v>1.0</v>
      </c>
      <c r="K35" s="10">
        <v>2018.0</v>
      </c>
      <c r="L35" s="10">
        <v>2024.0</v>
      </c>
      <c r="M35" s="10">
        <v>-0.4985</v>
      </c>
      <c r="N35" s="10">
        <v>-10.1161</v>
      </c>
      <c r="O35" s="10">
        <v>10.1482</v>
      </c>
      <c r="P35" s="10">
        <v>0.904366</v>
      </c>
      <c r="Q35" s="10">
        <v>-0.1264</v>
      </c>
    </row>
    <row r="36" ht="15.75" customHeight="1">
      <c r="A36" s="13" t="s">
        <v>17</v>
      </c>
      <c r="B36" s="4">
        <v>2006.0</v>
      </c>
      <c r="C36" s="5">
        <v>50.0</v>
      </c>
      <c r="D36" s="5">
        <v>0.57</v>
      </c>
      <c r="E36" s="5">
        <v>0.42</v>
      </c>
      <c r="F36" s="5">
        <v>0.76</v>
      </c>
      <c r="G36" s="5">
        <v>0.08</v>
      </c>
      <c r="I36" s="10" t="s">
        <v>29</v>
      </c>
      <c r="J36" s="10">
        <v>1.0</v>
      </c>
      <c r="K36" s="10">
        <v>2021.0</v>
      </c>
      <c r="L36" s="10">
        <v>2024.0</v>
      </c>
      <c r="M36" s="10">
        <v>-0.9326</v>
      </c>
      <c r="N36" s="10">
        <v>-12.6349</v>
      </c>
      <c r="O36" s="10">
        <v>12.337</v>
      </c>
      <c r="P36" s="10">
        <v>0.778827</v>
      </c>
      <c r="Q36" s="10">
        <v>-0.3207</v>
      </c>
    </row>
    <row r="37" ht="15.75" customHeight="1">
      <c r="A37" s="13" t="s">
        <v>17</v>
      </c>
      <c r="B37" s="4">
        <v>2007.0</v>
      </c>
      <c r="C37" s="5">
        <v>63.0</v>
      </c>
      <c r="D37" s="5">
        <v>0.67</v>
      </c>
      <c r="E37" s="5">
        <v>0.51</v>
      </c>
      <c r="F37" s="5">
        <v>0.86</v>
      </c>
      <c r="G37" s="5">
        <v>0.09</v>
      </c>
      <c r="I37" s="7" t="s">
        <v>30</v>
      </c>
    </row>
    <row r="38" ht="15.75" customHeight="1">
      <c r="A38" s="13" t="s">
        <v>17</v>
      </c>
      <c r="B38" s="4">
        <v>2008.0</v>
      </c>
      <c r="C38" s="5">
        <v>67.0</v>
      </c>
      <c r="D38" s="5">
        <v>0.73</v>
      </c>
      <c r="E38" s="5">
        <v>0.57</v>
      </c>
      <c r="F38" s="5">
        <v>0.93</v>
      </c>
      <c r="G38" s="5">
        <v>0.09</v>
      </c>
      <c r="I38" s="8" t="s">
        <v>9</v>
      </c>
      <c r="J38" s="8" t="s">
        <v>31</v>
      </c>
      <c r="K38" s="8" t="s">
        <v>19</v>
      </c>
      <c r="L38" s="8" t="s">
        <v>20</v>
      </c>
      <c r="M38" s="8" t="s">
        <v>32</v>
      </c>
      <c r="N38" s="8" t="s">
        <v>12</v>
      </c>
      <c r="O38" s="8" t="s">
        <v>13</v>
      </c>
      <c r="P38" s="8" t="s">
        <v>33</v>
      </c>
      <c r="Q38" s="8" t="s">
        <v>34</v>
      </c>
    </row>
    <row r="39" ht="15.75" customHeight="1">
      <c r="A39" s="13" t="s">
        <v>17</v>
      </c>
      <c r="B39" s="4">
        <v>2009.0</v>
      </c>
      <c r="C39" s="5">
        <v>72.0</v>
      </c>
      <c r="D39" s="5">
        <v>0.77</v>
      </c>
      <c r="E39" s="5">
        <v>0.6</v>
      </c>
      <c r="F39" s="5">
        <v>0.98</v>
      </c>
      <c r="G39" s="5">
        <v>0.09</v>
      </c>
      <c r="I39" s="10" t="s">
        <v>14</v>
      </c>
      <c r="J39" s="10" t="s">
        <v>35</v>
      </c>
      <c r="K39" s="10">
        <v>1999.0</v>
      </c>
      <c r="L39" s="10">
        <v>2024.0</v>
      </c>
      <c r="M39" s="10" t="s">
        <v>36</v>
      </c>
      <c r="N39" s="10">
        <v>0.9093</v>
      </c>
      <c r="O39" s="10">
        <v>2.1847</v>
      </c>
      <c r="P39" s="10">
        <v>2.0E-6</v>
      </c>
      <c r="Q39" s="10">
        <v>4.7852</v>
      </c>
    </row>
    <row r="40" ht="15.75" customHeight="1">
      <c r="A40" s="13" t="s">
        <v>17</v>
      </c>
      <c r="B40" s="4">
        <v>2010.0</v>
      </c>
      <c r="C40" s="5">
        <v>62.0</v>
      </c>
      <c r="D40" s="5">
        <v>0.64</v>
      </c>
      <c r="E40" s="5">
        <v>0.49</v>
      </c>
      <c r="F40" s="5">
        <v>0.82</v>
      </c>
      <c r="G40" s="5">
        <v>0.08</v>
      </c>
      <c r="I40" s="10" t="s">
        <v>26</v>
      </c>
      <c r="J40" s="10" t="s">
        <v>35</v>
      </c>
      <c r="K40" s="10">
        <v>1999.0</v>
      </c>
      <c r="L40" s="10">
        <v>2024.0</v>
      </c>
      <c r="M40" s="10">
        <v>0.6434</v>
      </c>
      <c r="N40" s="10">
        <v>-0.2137</v>
      </c>
      <c r="O40" s="10">
        <v>1.5079</v>
      </c>
      <c r="P40" s="10">
        <v>0.134808</v>
      </c>
      <c r="Q40" s="10">
        <v>1.5476</v>
      </c>
    </row>
    <row r="41" ht="15.75" customHeight="1">
      <c r="A41" s="13" t="s">
        <v>17</v>
      </c>
      <c r="B41" s="4">
        <v>2011.0</v>
      </c>
      <c r="C41" s="5">
        <v>88.0</v>
      </c>
      <c r="D41" s="5">
        <v>0.89</v>
      </c>
      <c r="E41" s="5">
        <v>0.71</v>
      </c>
      <c r="F41" s="5">
        <v>1.1</v>
      </c>
      <c r="G41" s="5">
        <v>0.1</v>
      </c>
      <c r="I41" s="10" t="s">
        <v>27</v>
      </c>
      <c r="J41" s="10" t="s">
        <v>35</v>
      </c>
      <c r="K41" s="10">
        <v>1999.0</v>
      </c>
      <c r="L41" s="10">
        <v>2024.0</v>
      </c>
      <c r="M41" s="10">
        <v>0.2294</v>
      </c>
      <c r="N41" s="10">
        <v>-0.4445</v>
      </c>
      <c r="O41" s="10">
        <v>0.9079</v>
      </c>
      <c r="P41" s="10">
        <v>0.489978</v>
      </c>
      <c r="Q41" s="10">
        <v>0.7011</v>
      </c>
    </row>
    <row r="42" ht="15.75" customHeight="1">
      <c r="A42" s="13" t="s">
        <v>17</v>
      </c>
      <c r="B42" s="4">
        <v>2012.0</v>
      </c>
      <c r="C42" s="5">
        <v>77.0</v>
      </c>
      <c r="D42" s="5">
        <v>0.75</v>
      </c>
      <c r="E42" s="5">
        <v>0.59</v>
      </c>
      <c r="F42" s="5">
        <v>0.94</v>
      </c>
      <c r="G42" s="5">
        <v>0.09</v>
      </c>
      <c r="I42" s="10" t="s">
        <v>28</v>
      </c>
      <c r="J42" s="10" t="s">
        <v>35</v>
      </c>
      <c r="K42" s="10">
        <v>2018.0</v>
      </c>
      <c r="L42" s="10">
        <v>2024.0</v>
      </c>
      <c r="M42" s="10">
        <v>-0.4985</v>
      </c>
      <c r="N42" s="10">
        <v>-10.1161</v>
      </c>
      <c r="O42" s="10">
        <v>10.1482</v>
      </c>
      <c r="P42" s="10">
        <v>0.904366</v>
      </c>
      <c r="Q42" s="10">
        <v>-0.1264</v>
      </c>
    </row>
    <row r="43" ht="15.75" customHeight="1">
      <c r="A43" s="13" t="s">
        <v>17</v>
      </c>
      <c r="B43" s="4">
        <v>2013.0</v>
      </c>
      <c r="C43" s="5">
        <v>73.0</v>
      </c>
      <c r="D43" s="5">
        <v>0.67</v>
      </c>
      <c r="E43" s="5">
        <v>0.52</v>
      </c>
      <c r="F43" s="5">
        <v>0.85</v>
      </c>
      <c r="G43" s="5">
        <v>0.08</v>
      </c>
      <c r="I43" s="10" t="s">
        <v>29</v>
      </c>
      <c r="J43" s="10" t="s">
        <v>35</v>
      </c>
      <c r="K43" s="10">
        <v>2021.0</v>
      </c>
      <c r="L43" s="10">
        <v>2024.0</v>
      </c>
      <c r="M43" s="10">
        <v>-0.9326</v>
      </c>
      <c r="N43" s="10">
        <v>-12.6349</v>
      </c>
      <c r="O43" s="10">
        <v>12.337</v>
      </c>
      <c r="P43" s="10">
        <v>0.778827</v>
      </c>
      <c r="Q43" s="10">
        <v>-0.3207</v>
      </c>
    </row>
    <row r="44" ht="15.75" customHeight="1">
      <c r="A44" s="13" t="s">
        <v>17</v>
      </c>
      <c r="B44" s="4">
        <v>2014.0</v>
      </c>
      <c r="C44" s="5">
        <v>64.0</v>
      </c>
      <c r="D44" s="5">
        <v>0.61</v>
      </c>
      <c r="E44" s="5">
        <v>0.46</v>
      </c>
      <c r="F44" s="5">
        <v>0.78</v>
      </c>
      <c r="G44" s="5">
        <v>0.08</v>
      </c>
    </row>
    <row r="45" ht="15.75" customHeight="1">
      <c r="A45" s="13" t="s">
        <v>17</v>
      </c>
      <c r="B45" s="4">
        <v>2015.0</v>
      </c>
      <c r="C45" s="5">
        <v>94.0</v>
      </c>
      <c r="D45" s="5">
        <v>0.85</v>
      </c>
      <c r="E45" s="5">
        <v>0.69</v>
      </c>
      <c r="F45" s="5">
        <v>1.05</v>
      </c>
      <c r="G45" s="5">
        <v>0.09</v>
      </c>
    </row>
    <row r="46" ht="15.75" customHeight="1">
      <c r="A46" s="13" t="s">
        <v>17</v>
      </c>
      <c r="B46" s="4">
        <v>2016.0</v>
      </c>
      <c r="C46" s="5">
        <v>70.0</v>
      </c>
      <c r="D46" s="5">
        <v>0.61</v>
      </c>
      <c r="E46" s="5">
        <v>0.47</v>
      </c>
      <c r="F46" s="5">
        <v>0.77</v>
      </c>
      <c r="G46" s="5">
        <v>0.07</v>
      </c>
    </row>
    <row r="47" ht="15.75" customHeight="1">
      <c r="A47" s="13" t="s">
        <v>17</v>
      </c>
      <c r="B47" s="4">
        <v>2017.0</v>
      </c>
      <c r="C47" s="5">
        <v>73.0</v>
      </c>
      <c r="D47" s="5">
        <v>0.6</v>
      </c>
      <c r="E47" s="5">
        <v>0.47</v>
      </c>
      <c r="F47" s="5">
        <v>0.76</v>
      </c>
      <c r="G47" s="5">
        <v>0.07</v>
      </c>
    </row>
    <row r="48" ht="15.75" customHeight="1">
      <c r="A48" s="13" t="s">
        <v>17</v>
      </c>
      <c r="B48" s="4">
        <v>2018.0</v>
      </c>
      <c r="C48" s="5">
        <v>92.0</v>
      </c>
      <c r="D48" s="5">
        <v>0.74</v>
      </c>
      <c r="E48" s="5">
        <v>0.59</v>
      </c>
      <c r="F48" s="5">
        <v>0.9</v>
      </c>
      <c r="G48" s="5">
        <v>0.08</v>
      </c>
    </row>
    <row r="49" ht="15.75" customHeight="1">
      <c r="A49" s="13" t="s">
        <v>17</v>
      </c>
      <c r="B49" s="4">
        <v>2019.0</v>
      </c>
      <c r="C49" s="5">
        <v>112.0</v>
      </c>
      <c r="D49" s="5">
        <v>0.88</v>
      </c>
      <c r="E49" s="5">
        <v>0.72</v>
      </c>
      <c r="F49" s="5">
        <v>1.05</v>
      </c>
      <c r="G49" s="5">
        <v>0.09</v>
      </c>
    </row>
    <row r="50" ht="15.75" customHeight="1">
      <c r="A50" s="13" t="s">
        <v>17</v>
      </c>
      <c r="B50" s="4">
        <v>2020.0</v>
      </c>
      <c r="C50" s="5">
        <v>112.0</v>
      </c>
      <c r="D50" s="5">
        <v>0.85</v>
      </c>
      <c r="E50" s="5">
        <v>0.69</v>
      </c>
      <c r="F50" s="5">
        <v>1.01</v>
      </c>
      <c r="G50" s="5">
        <v>0.08</v>
      </c>
    </row>
    <row r="51" ht="15.75" customHeight="1">
      <c r="A51" s="13" t="s">
        <v>17</v>
      </c>
      <c r="B51" s="4">
        <v>2021.0</v>
      </c>
      <c r="C51" s="5">
        <v>112.0</v>
      </c>
      <c r="D51" s="5">
        <v>0.93</v>
      </c>
      <c r="E51" s="5">
        <v>0.77</v>
      </c>
      <c r="F51" s="5">
        <v>1.12</v>
      </c>
      <c r="G51" s="5">
        <v>0.09</v>
      </c>
    </row>
    <row r="52" ht="15.75" customHeight="1">
      <c r="A52" s="13" t="s">
        <v>17</v>
      </c>
      <c r="B52" s="4">
        <v>2022.0</v>
      </c>
      <c r="C52" s="5">
        <v>112.0</v>
      </c>
      <c r="D52" s="5">
        <v>0.89</v>
      </c>
      <c r="E52" s="5">
        <v>0.73</v>
      </c>
      <c r="F52" s="5">
        <v>1.07</v>
      </c>
      <c r="G52" s="5">
        <v>0.08</v>
      </c>
    </row>
    <row r="53" ht="15.75" customHeight="1">
      <c r="A53" s="13" t="s">
        <v>17</v>
      </c>
      <c r="B53" s="4">
        <v>2023.0</v>
      </c>
      <c r="C53" s="5">
        <v>108.0</v>
      </c>
      <c r="D53" s="5">
        <v>0.85</v>
      </c>
      <c r="E53" s="5">
        <v>0.7</v>
      </c>
      <c r="F53" s="5">
        <v>1.03</v>
      </c>
      <c r="G53" s="5">
        <v>0.08</v>
      </c>
    </row>
    <row r="54" ht="15.75" customHeight="1">
      <c r="A54" s="13" t="s">
        <v>17</v>
      </c>
      <c r="B54" s="4">
        <v>2024.0</v>
      </c>
      <c r="C54" s="5">
        <v>109.0</v>
      </c>
      <c r="D54" s="5">
        <v>0.81</v>
      </c>
      <c r="E54" s="5">
        <v>0.67</v>
      </c>
      <c r="F54" s="5">
        <v>0.98</v>
      </c>
      <c r="G54" s="5">
        <v>0.08</v>
      </c>
    </row>
    <row r="55" ht="15.75" customHeight="1">
      <c r="A55" s="11" t="s">
        <v>15</v>
      </c>
      <c r="B55" s="12"/>
      <c r="C55" s="12">
        <f>SUM(C29:C54)</f>
        <v>2019</v>
      </c>
      <c r="D55" s="12"/>
      <c r="E55" s="12"/>
      <c r="F55" s="12"/>
      <c r="G55" s="12"/>
    </row>
    <row r="56" ht="15.75" customHeight="1">
      <c r="A56" s="14" t="s">
        <v>37</v>
      </c>
      <c r="B56" s="4">
        <v>1999.0</v>
      </c>
      <c r="C56" s="5">
        <v>36.0</v>
      </c>
      <c r="D56" s="5">
        <v>1.01</v>
      </c>
      <c r="E56" s="5">
        <v>0.7</v>
      </c>
      <c r="F56" s="5">
        <v>1.4</v>
      </c>
      <c r="G56" s="5">
        <v>0.17</v>
      </c>
    </row>
    <row r="57" ht="15.75" customHeight="1">
      <c r="A57" s="14" t="s">
        <v>37</v>
      </c>
      <c r="B57" s="4">
        <v>2000.0</v>
      </c>
      <c r="C57" s="5">
        <v>32.0</v>
      </c>
      <c r="D57" s="5">
        <v>0.83</v>
      </c>
      <c r="E57" s="5">
        <v>0.56</v>
      </c>
      <c r="F57" s="5">
        <v>1.17</v>
      </c>
      <c r="G57" s="5">
        <v>0.15</v>
      </c>
    </row>
    <row r="58" ht="15.75" customHeight="1">
      <c r="A58" s="14" t="s">
        <v>37</v>
      </c>
      <c r="B58" s="4">
        <v>2001.0</v>
      </c>
      <c r="C58" s="5">
        <v>31.0</v>
      </c>
      <c r="D58" s="5">
        <v>0.75</v>
      </c>
      <c r="E58" s="5">
        <v>0.5</v>
      </c>
      <c r="F58" s="5">
        <v>1.07</v>
      </c>
      <c r="G58" s="5">
        <v>0.14</v>
      </c>
    </row>
    <row r="59" ht="15.75" customHeight="1">
      <c r="A59" s="14" t="s">
        <v>37</v>
      </c>
      <c r="B59" s="4">
        <v>2002.0</v>
      </c>
      <c r="C59" s="5">
        <v>36.0</v>
      </c>
      <c r="D59" s="5">
        <v>0.83</v>
      </c>
      <c r="E59" s="5">
        <v>0.58</v>
      </c>
      <c r="F59" s="5">
        <v>1.16</v>
      </c>
      <c r="G59" s="5">
        <v>0.14</v>
      </c>
    </row>
    <row r="60" ht="15.75" customHeight="1">
      <c r="A60" s="14" t="s">
        <v>37</v>
      </c>
      <c r="B60" s="4">
        <v>2003.0</v>
      </c>
      <c r="C60" s="5">
        <v>28.0</v>
      </c>
      <c r="D60" s="5">
        <v>0.56</v>
      </c>
      <c r="E60" s="5">
        <v>0.37</v>
      </c>
      <c r="F60" s="5">
        <v>0.83</v>
      </c>
      <c r="G60" s="5">
        <v>0.11</v>
      </c>
    </row>
    <row r="61" ht="15.75" customHeight="1">
      <c r="A61" s="14" t="s">
        <v>37</v>
      </c>
      <c r="B61" s="4">
        <v>2004.0</v>
      </c>
      <c r="C61" s="5">
        <v>37.0</v>
      </c>
      <c r="D61" s="5">
        <v>0.68</v>
      </c>
      <c r="E61" s="5">
        <v>0.48</v>
      </c>
      <c r="F61" s="5">
        <v>0.95</v>
      </c>
      <c r="G61" s="5">
        <v>0.12</v>
      </c>
    </row>
    <row r="62" ht="15.75" customHeight="1">
      <c r="A62" s="14" t="s">
        <v>37</v>
      </c>
      <c r="B62" s="4">
        <v>2005.0</v>
      </c>
      <c r="C62" s="5">
        <v>35.0</v>
      </c>
      <c r="D62" s="5">
        <v>0.68</v>
      </c>
      <c r="E62" s="5">
        <v>0.47</v>
      </c>
      <c r="F62" s="5">
        <v>0.95</v>
      </c>
      <c r="G62" s="5">
        <v>0.12</v>
      </c>
    </row>
    <row r="63" ht="15.75" customHeight="1">
      <c r="A63" s="14" t="s">
        <v>37</v>
      </c>
      <c r="B63" s="4">
        <v>2006.0</v>
      </c>
      <c r="C63" s="5">
        <v>50.0</v>
      </c>
      <c r="D63" s="5">
        <v>0.9</v>
      </c>
      <c r="E63" s="5">
        <v>0.66</v>
      </c>
      <c r="F63" s="5">
        <v>1.2</v>
      </c>
      <c r="G63" s="5">
        <v>0.13</v>
      </c>
    </row>
    <row r="64" ht="15.75" customHeight="1">
      <c r="A64" s="14" t="s">
        <v>37</v>
      </c>
      <c r="B64" s="4">
        <v>2007.0</v>
      </c>
      <c r="C64" s="5">
        <v>46.0</v>
      </c>
      <c r="D64" s="5">
        <v>0.77</v>
      </c>
      <c r="E64" s="5">
        <v>0.56</v>
      </c>
      <c r="F64" s="5">
        <v>1.04</v>
      </c>
      <c r="G64" s="5">
        <v>0.12</v>
      </c>
    </row>
    <row r="65" ht="15.75" customHeight="1">
      <c r="A65" s="14" t="s">
        <v>37</v>
      </c>
      <c r="B65" s="4">
        <v>2008.0</v>
      </c>
      <c r="C65" s="5">
        <v>45.0</v>
      </c>
      <c r="D65" s="5">
        <v>0.78</v>
      </c>
      <c r="E65" s="5">
        <v>0.57</v>
      </c>
      <c r="F65" s="5">
        <v>1.05</v>
      </c>
      <c r="G65" s="5">
        <v>0.12</v>
      </c>
    </row>
    <row r="66" ht="15.75" customHeight="1">
      <c r="A66" s="14" t="s">
        <v>37</v>
      </c>
      <c r="B66" s="4">
        <v>2009.0</v>
      </c>
      <c r="C66" s="5">
        <v>52.0</v>
      </c>
      <c r="D66" s="5">
        <v>0.83</v>
      </c>
      <c r="E66" s="5">
        <v>0.62</v>
      </c>
      <c r="F66" s="5">
        <v>1.09</v>
      </c>
      <c r="G66" s="5">
        <v>0.12</v>
      </c>
    </row>
    <row r="67" ht="15.75" customHeight="1">
      <c r="A67" s="14" t="s">
        <v>37</v>
      </c>
      <c r="B67" s="4">
        <v>2010.0</v>
      </c>
      <c r="C67" s="5">
        <v>39.0</v>
      </c>
      <c r="D67" s="5">
        <v>0.61</v>
      </c>
      <c r="E67" s="5">
        <v>0.43</v>
      </c>
      <c r="F67" s="5">
        <v>0.83</v>
      </c>
      <c r="G67" s="5">
        <v>0.1</v>
      </c>
    </row>
    <row r="68" ht="15.75" customHeight="1">
      <c r="A68" s="14" t="s">
        <v>37</v>
      </c>
      <c r="B68" s="4">
        <v>2011.0</v>
      </c>
      <c r="C68" s="5">
        <v>61.0</v>
      </c>
      <c r="D68" s="5">
        <v>0.85</v>
      </c>
      <c r="E68" s="5">
        <v>0.65</v>
      </c>
      <c r="F68" s="5">
        <v>1.1</v>
      </c>
      <c r="G68" s="5">
        <v>0.11</v>
      </c>
    </row>
    <row r="69" ht="15.75" customHeight="1">
      <c r="A69" s="14" t="s">
        <v>37</v>
      </c>
      <c r="B69" s="4">
        <v>2012.0</v>
      </c>
      <c r="C69" s="5">
        <v>50.0</v>
      </c>
      <c r="D69" s="5">
        <v>0.67</v>
      </c>
      <c r="E69" s="5">
        <v>0.49</v>
      </c>
      <c r="F69" s="5">
        <v>0.88</v>
      </c>
      <c r="G69" s="5">
        <v>0.1</v>
      </c>
    </row>
    <row r="70" ht="15.75" customHeight="1">
      <c r="A70" s="14" t="s">
        <v>37</v>
      </c>
      <c r="B70" s="4">
        <v>2013.0</v>
      </c>
      <c r="C70" s="5">
        <v>71.0</v>
      </c>
      <c r="D70" s="5">
        <v>0.9</v>
      </c>
      <c r="E70" s="5">
        <v>0.7</v>
      </c>
      <c r="F70" s="5">
        <v>1.14</v>
      </c>
      <c r="G70" s="5">
        <v>0.11</v>
      </c>
    </row>
    <row r="71" ht="15.75" customHeight="1">
      <c r="A71" s="14" t="s">
        <v>37</v>
      </c>
      <c r="B71" s="4">
        <v>2014.0</v>
      </c>
      <c r="C71" s="5">
        <v>56.0</v>
      </c>
      <c r="D71" s="5">
        <v>0.65</v>
      </c>
      <c r="E71" s="5">
        <v>0.49</v>
      </c>
      <c r="F71" s="5">
        <v>0.85</v>
      </c>
      <c r="G71" s="5">
        <v>0.09</v>
      </c>
    </row>
    <row r="72" ht="15.75" customHeight="1">
      <c r="A72" s="14" t="s">
        <v>37</v>
      </c>
      <c r="B72" s="4">
        <v>2015.0</v>
      </c>
      <c r="C72" s="5">
        <v>70.0</v>
      </c>
      <c r="D72" s="5">
        <v>0.78</v>
      </c>
      <c r="E72" s="5">
        <v>0.6</v>
      </c>
      <c r="F72" s="5">
        <v>0.99</v>
      </c>
      <c r="G72" s="5">
        <v>0.1</v>
      </c>
    </row>
    <row r="73" ht="15.75" customHeight="1">
      <c r="A73" s="14" t="s">
        <v>37</v>
      </c>
      <c r="B73" s="4">
        <v>2016.0</v>
      </c>
      <c r="C73" s="5">
        <v>62.0</v>
      </c>
      <c r="D73" s="5">
        <v>0.67</v>
      </c>
      <c r="E73" s="5">
        <v>0.51</v>
      </c>
      <c r="F73" s="5">
        <v>0.86</v>
      </c>
      <c r="G73" s="5">
        <v>0.09</v>
      </c>
    </row>
    <row r="74" ht="15.75" customHeight="1">
      <c r="A74" s="14" t="s">
        <v>37</v>
      </c>
      <c r="B74" s="4">
        <v>2017.0</v>
      </c>
      <c r="C74" s="5">
        <v>72.0</v>
      </c>
      <c r="D74" s="5">
        <v>0.71</v>
      </c>
      <c r="E74" s="5">
        <v>0.55</v>
      </c>
      <c r="F74" s="5">
        <v>0.9</v>
      </c>
      <c r="G74" s="5">
        <v>0.09</v>
      </c>
    </row>
    <row r="75" ht="15.75" customHeight="1">
      <c r="A75" s="14" t="s">
        <v>37</v>
      </c>
      <c r="B75" s="4">
        <v>2018.0</v>
      </c>
      <c r="C75" s="5">
        <v>84.0</v>
      </c>
      <c r="D75" s="5">
        <v>0.76</v>
      </c>
      <c r="E75" s="5">
        <v>0.61</v>
      </c>
      <c r="F75" s="5">
        <v>0.95</v>
      </c>
      <c r="G75" s="5">
        <v>0.09</v>
      </c>
    </row>
    <row r="76" ht="15.75" customHeight="1">
      <c r="A76" s="14" t="s">
        <v>37</v>
      </c>
      <c r="B76" s="4">
        <v>2019.0</v>
      </c>
      <c r="C76" s="5">
        <v>86.0</v>
      </c>
      <c r="D76" s="5">
        <v>0.78</v>
      </c>
      <c r="E76" s="5">
        <v>0.62</v>
      </c>
      <c r="F76" s="5">
        <v>0.97</v>
      </c>
      <c r="G76" s="5">
        <v>0.09</v>
      </c>
    </row>
    <row r="77" ht="15.75" customHeight="1">
      <c r="A77" s="14" t="s">
        <v>37</v>
      </c>
      <c r="B77" s="4">
        <v>2020.0</v>
      </c>
      <c r="C77" s="5">
        <v>94.0</v>
      </c>
      <c r="D77" s="5">
        <v>0.8</v>
      </c>
      <c r="E77" s="5">
        <v>0.64</v>
      </c>
      <c r="F77" s="5">
        <v>0.98</v>
      </c>
      <c r="G77" s="5">
        <v>0.08</v>
      </c>
    </row>
    <row r="78" ht="15.75" customHeight="1">
      <c r="A78" s="14" t="s">
        <v>37</v>
      </c>
      <c r="B78" s="4">
        <v>2021.0</v>
      </c>
      <c r="C78" s="5">
        <v>104.0</v>
      </c>
      <c r="D78" s="5">
        <v>0.9</v>
      </c>
      <c r="E78" s="5">
        <v>0.74</v>
      </c>
      <c r="F78" s="5">
        <v>1.1</v>
      </c>
      <c r="G78" s="5">
        <v>0.09</v>
      </c>
    </row>
    <row r="79" ht="15.75" customHeight="1">
      <c r="A79" s="14" t="s">
        <v>37</v>
      </c>
      <c r="B79" s="4">
        <v>2022.0</v>
      </c>
      <c r="C79" s="5">
        <v>93.0</v>
      </c>
      <c r="D79" s="5">
        <v>0.79</v>
      </c>
      <c r="E79" s="5">
        <v>0.64</v>
      </c>
      <c r="F79" s="5">
        <v>0.97</v>
      </c>
      <c r="G79" s="5">
        <v>0.08</v>
      </c>
    </row>
    <row r="80" ht="15.75" customHeight="1">
      <c r="A80" s="14" t="s">
        <v>37</v>
      </c>
      <c r="B80" s="4">
        <v>2023.0</v>
      </c>
      <c r="C80" s="5">
        <v>97.0</v>
      </c>
      <c r="D80" s="5">
        <v>0.76</v>
      </c>
      <c r="E80" s="5">
        <v>0.61</v>
      </c>
      <c r="F80" s="5">
        <v>0.93</v>
      </c>
      <c r="G80" s="5">
        <v>0.08</v>
      </c>
    </row>
    <row r="81" ht="15.75" customHeight="1">
      <c r="A81" s="14" t="s">
        <v>37</v>
      </c>
      <c r="B81" s="4">
        <v>2024.0</v>
      </c>
      <c r="C81" s="5">
        <v>116.0</v>
      </c>
      <c r="D81" s="5">
        <v>0.89</v>
      </c>
      <c r="E81" s="5">
        <v>0.73</v>
      </c>
      <c r="F81" s="5">
        <v>1.07</v>
      </c>
      <c r="G81" s="5">
        <v>0.08</v>
      </c>
    </row>
    <row r="82" ht="15.75" customHeight="1">
      <c r="A82" s="11" t="s">
        <v>15</v>
      </c>
      <c r="B82" s="12"/>
      <c r="C82" s="12">
        <f>SUM(C56:C81)</f>
        <v>1583</v>
      </c>
      <c r="D82" s="12"/>
      <c r="E82" s="12"/>
      <c r="F82" s="12"/>
      <c r="G82" s="12"/>
    </row>
    <row r="83" ht="15.75" customHeight="1">
      <c r="A83" s="15" t="s">
        <v>38</v>
      </c>
      <c r="B83" s="16">
        <v>2018.0</v>
      </c>
      <c r="C83" s="5">
        <v>17.0</v>
      </c>
      <c r="D83" s="5">
        <v>0.34</v>
      </c>
      <c r="E83" s="5">
        <v>0.2</v>
      </c>
      <c r="F83" s="5">
        <v>0.53</v>
      </c>
      <c r="G83" s="5">
        <v>0.08</v>
      </c>
    </row>
    <row r="84" ht="15.75" customHeight="1">
      <c r="A84" s="15" t="s">
        <v>38</v>
      </c>
      <c r="B84" s="16">
        <v>2019.0</v>
      </c>
      <c r="C84" s="5">
        <v>27.0</v>
      </c>
      <c r="D84" s="5">
        <v>0.48</v>
      </c>
      <c r="E84" s="5">
        <v>0.31</v>
      </c>
      <c r="F84" s="5">
        <v>0.7</v>
      </c>
      <c r="G84" s="5">
        <v>0.09</v>
      </c>
    </row>
    <row r="85" ht="15.75" customHeight="1">
      <c r="A85" s="15" t="s">
        <v>38</v>
      </c>
      <c r="B85" s="16">
        <v>2020.0</v>
      </c>
      <c r="C85" s="5">
        <v>23.0</v>
      </c>
      <c r="D85" s="5">
        <v>0.41</v>
      </c>
      <c r="E85" s="5">
        <v>0.26</v>
      </c>
      <c r="F85" s="5">
        <v>0.61</v>
      </c>
      <c r="G85" s="5">
        <v>0.08</v>
      </c>
    </row>
    <row r="86" ht="15.75" customHeight="1">
      <c r="A86" s="15" t="s">
        <v>38</v>
      </c>
      <c r="B86" s="16">
        <v>2021.0</v>
      </c>
      <c r="C86" s="5">
        <v>22.0</v>
      </c>
      <c r="D86" s="5">
        <v>0.36</v>
      </c>
      <c r="E86" s="5">
        <v>0.23</v>
      </c>
      <c r="F86" s="5">
        <v>0.56</v>
      </c>
      <c r="G86" s="5">
        <v>0.08</v>
      </c>
    </row>
    <row r="87" ht="15.75" customHeight="1">
      <c r="A87" s="15" t="s">
        <v>38</v>
      </c>
      <c r="B87" s="16">
        <v>2022.0</v>
      </c>
      <c r="C87" s="5">
        <v>31.0</v>
      </c>
      <c r="D87" s="5">
        <v>0.53</v>
      </c>
      <c r="E87" s="5">
        <v>0.37</v>
      </c>
      <c r="F87" s="5">
        <v>0.74</v>
      </c>
      <c r="G87" s="5">
        <v>0.09</v>
      </c>
    </row>
    <row r="88" ht="15.75" customHeight="1">
      <c r="A88" s="15" t="s">
        <v>38</v>
      </c>
      <c r="B88" s="16">
        <v>2023.0</v>
      </c>
      <c r="C88" s="5">
        <v>19.0</v>
      </c>
      <c r="D88" s="5">
        <v>0.31</v>
      </c>
      <c r="E88" s="5">
        <v>0.19</v>
      </c>
      <c r="F88" s="5">
        <v>0.47</v>
      </c>
      <c r="G88" s="5">
        <v>0.07</v>
      </c>
    </row>
    <row r="89" ht="15.75" customHeight="1">
      <c r="A89" s="15" t="s">
        <v>38</v>
      </c>
      <c r="B89" s="16">
        <v>2024.0</v>
      </c>
      <c r="C89" s="5">
        <v>26.0</v>
      </c>
      <c r="D89" s="5">
        <v>0.4</v>
      </c>
      <c r="E89" s="5">
        <v>0.27</v>
      </c>
      <c r="F89" s="5">
        <v>0.57</v>
      </c>
      <c r="G89" s="5">
        <v>0.07</v>
      </c>
    </row>
    <row r="90" ht="15.75" customHeight="1">
      <c r="A90" s="11" t="s">
        <v>15</v>
      </c>
      <c r="B90" s="12"/>
      <c r="C90" s="12">
        <f>SUM(C83:C89)</f>
        <v>165</v>
      </c>
      <c r="D90" s="12"/>
      <c r="E90" s="12"/>
      <c r="F90" s="12"/>
      <c r="G90" s="12"/>
    </row>
    <row r="91" ht="15.75" customHeight="1">
      <c r="A91" s="17" t="s">
        <v>39</v>
      </c>
      <c r="B91" s="16">
        <v>2021.0</v>
      </c>
      <c r="C91" s="5">
        <v>10.0</v>
      </c>
      <c r="D91" s="5">
        <v>1.03</v>
      </c>
      <c r="E91" s="5">
        <v>0.48</v>
      </c>
      <c r="F91" s="5">
        <v>1.98</v>
      </c>
      <c r="G91" s="5">
        <v>0.34</v>
      </c>
    </row>
    <row r="92" ht="15.75" customHeight="1">
      <c r="A92" s="17" t="s">
        <v>39</v>
      </c>
      <c r="B92" s="16">
        <v>2022.0</v>
      </c>
      <c r="C92" s="5">
        <v>10.0</v>
      </c>
      <c r="D92" s="5">
        <v>0.93</v>
      </c>
      <c r="E92" s="5">
        <v>0.44</v>
      </c>
      <c r="F92" s="5">
        <v>1.79</v>
      </c>
      <c r="G92" s="5">
        <v>0.3</v>
      </c>
    </row>
    <row r="93" ht="15.75" customHeight="1">
      <c r="A93" s="17" t="s">
        <v>39</v>
      </c>
      <c r="B93" s="16">
        <v>2023.0</v>
      </c>
      <c r="C93" s="5">
        <v>11.0</v>
      </c>
      <c r="D93" s="5">
        <v>1.04</v>
      </c>
      <c r="E93" s="5">
        <v>0.51</v>
      </c>
      <c r="F93" s="5">
        <v>1.92</v>
      </c>
      <c r="G93" s="5">
        <v>0.32</v>
      </c>
    </row>
    <row r="94" ht="15.75" customHeight="1">
      <c r="A94" s="17" t="s">
        <v>39</v>
      </c>
      <c r="B94" s="16">
        <v>2024.0</v>
      </c>
      <c r="C94" s="5">
        <v>11.0</v>
      </c>
      <c r="D94" s="5">
        <v>0.96</v>
      </c>
      <c r="E94" s="5">
        <v>0.47</v>
      </c>
      <c r="F94" s="5">
        <v>1.77</v>
      </c>
      <c r="G94" s="5">
        <v>0.3</v>
      </c>
    </row>
    <row r="95" ht="15.75" customHeight="1">
      <c r="A95" s="11" t="s">
        <v>15</v>
      </c>
      <c r="B95" s="12"/>
      <c r="C95" s="12">
        <f>SUM(C91:C94)</f>
        <v>42</v>
      </c>
      <c r="D95" s="12"/>
      <c r="E95" s="12"/>
      <c r="F95" s="12"/>
      <c r="G95" s="12"/>
    </row>
    <row r="96" ht="15.75" customHeight="1"/>
    <row r="97" ht="15.75" customHeight="1">
      <c r="A97" s="18" t="s">
        <v>40</v>
      </c>
    </row>
    <row r="98" ht="15.75" customHeight="1">
      <c r="A98" s="19" t="s">
        <v>41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mergeCells count="3">
    <mergeCell ref="I24:M24"/>
    <mergeCell ref="I28:Q28"/>
    <mergeCell ref="I37:Q37"/>
  </mergeCells>
  <drawing r:id="rId1"/>
</worksheet>
</file>