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8c/pa0IuYkzBZ1+waWJYZNlqTvOtHrXHqb0DNXwzAM="/>
    </ext>
  </extLst>
</workbook>
</file>

<file path=xl/sharedStrings.xml><?xml version="1.0" encoding="utf-8"?>
<sst xmlns="http://schemas.openxmlformats.org/spreadsheetml/2006/main" count="15" uniqueCount="15">
  <si>
    <t>Place of Death</t>
  </si>
  <si>
    <t>Code</t>
  </si>
  <si>
    <t>Deaths (1999-2020)</t>
  </si>
  <si>
    <t>Deaths (2021-2024)</t>
  </si>
  <si>
    <t>Total Deaths</t>
  </si>
  <si>
    <t>Medical Facility - Inpatient</t>
  </si>
  <si>
    <t>Medical Facility - Outpatient or ER</t>
  </si>
  <si>
    <t>Medical Facility - Dead on Arrival</t>
  </si>
  <si>
    <t>Suppressed</t>
  </si>
  <si>
    <t>Medical Facility - Status unknown</t>
  </si>
  <si>
    <t>Decedent's home</t>
  </si>
  <si>
    <t>Hospice facility</t>
  </si>
  <si>
    <t>Nursing home/long term care</t>
  </si>
  <si>
    <t>Other</t>
  </si>
  <si>
    <t>Place of death 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</si>
</sst>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Font="1"/>
    <xf borderId="0" fillId="3" fontId="2" numFmtId="0" xfId="0" applyAlignment="1" applyFill="1" applyFont="1">
      <alignment vertical="bottom"/>
    </xf>
    <xf borderId="0" fillId="3" fontId="2" numFmtId="0" xfId="0" applyFill="1" applyFont="1"/>
    <xf borderId="0" fillId="4" fontId="2" numFmtId="0" xfId="0" applyAlignment="1" applyFill="1" applyFont="1">
      <alignment vertical="bottom"/>
    </xf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63"/>
    <col customWidth="1" min="2" max="3" width="16.88"/>
    <col customWidth="1" min="4" max="4" width="16.0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>
        <v>1.0</v>
      </c>
      <c r="C2" s="3">
        <v>4842.0</v>
      </c>
      <c r="D2" s="3">
        <v>1123.0</v>
      </c>
      <c r="E2" s="4">
        <f t="shared" ref="E2:E11" si="1">SUM(C2:D2)</f>
        <v>5965</v>
      </c>
    </row>
    <row r="3" ht="15.75" customHeight="1">
      <c r="A3" s="2" t="s">
        <v>6</v>
      </c>
      <c r="B3" s="3">
        <v>2.0</v>
      </c>
      <c r="C3" s="3">
        <v>328.0</v>
      </c>
      <c r="D3" s="3">
        <v>93.0</v>
      </c>
      <c r="E3" s="4">
        <f t="shared" si="1"/>
        <v>421</v>
      </c>
    </row>
    <row r="4" ht="15.75" customHeight="1">
      <c r="A4" s="2" t="s">
        <v>7</v>
      </c>
      <c r="B4" s="3">
        <v>3.0</v>
      </c>
      <c r="C4" s="3">
        <v>28.0</v>
      </c>
      <c r="D4" s="2" t="s">
        <v>8</v>
      </c>
      <c r="E4" s="4">
        <f t="shared" si="1"/>
        <v>28</v>
      </c>
    </row>
    <row r="5" ht="15.75" customHeight="1">
      <c r="A5" s="5" t="s">
        <v>9</v>
      </c>
      <c r="B5" s="3">
        <v>10.0</v>
      </c>
      <c r="C5" s="3">
        <v>17.0</v>
      </c>
      <c r="D5" s="3">
        <v>0.0</v>
      </c>
      <c r="E5" s="6">
        <f t="shared" si="1"/>
        <v>17</v>
      </c>
    </row>
    <row r="6" ht="15.75" customHeight="1">
      <c r="A6" s="7" t="s">
        <v>10</v>
      </c>
      <c r="B6" s="3">
        <v>4.0</v>
      </c>
      <c r="C6" s="3">
        <v>9042.0</v>
      </c>
      <c r="D6" s="3">
        <v>3170.0</v>
      </c>
      <c r="E6" s="8">
        <f t="shared" si="1"/>
        <v>12212</v>
      </c>
    </row>
    <row r="7" ht="15.75" customHeight="1">
      <c r="A7" s="2" t="s">
        <v>11</v>
      </c>
      <c r="B7" s="3">
        <v>5.0</v>
      </c>
      <c r="C7" s="3">
        <v>2591.0</v>
      </c>
      <c r="D7" s="3">
        <v>1055.0</v>
      </c>
      <c r="E7" s="4">
        <f t="shared" si="1"/>
        <v>3646</v>
      </c>
    </row>
    <row r="8" ht="15.75" customHeight="1">
      <c r="A8" s="2" t="s">
        <v>12</v>
      </c>
      <c r="B8" s="3">
        <v>6.0</v>
      </c>
      <c r="C8" s="3">
        <v>6985.0</v>
      </c>
      <c r="D8" s="3">
        <v>1261.0</v>
      </c>
      <c r="E8" s="4">
        <f t="shared" si="1"/>
        <v>8246</v>
      </c>
    </row>
    <row r="9" ht="15.75" customHeight="1">
      <c r="A9" s="2" t="s">
        <v>13</v>
      </c>
      <c r="B9" s="3">
        <v>7.0</v>
      </c>
      <c r="C9" s="3">
        <v>1675.0</v>
      </c>
      <c r="D9" s="3">
        <v>377.0</v>
      </c>
      <c r="E9" s="4">
        <f t="shared" si="1"/>
        <v>2052</v>
      </c>
    </row>
    <row r="10" ht="15.75" customHeight="1">
      <c r="A10" s="2" t="s">
        <v>14</v>
      </c>
      <c r="B10" s="3">
        <v>9.0</v>
      </c>
      <c r="C10" s="3">
        <v>57.0</v>
      </c>
      <c r="D10" s="3">
        <v>0.0</v>
      </c>
      <c r="E10" s="4">
        <f t="shared" si="1"/>
        <v>57</v>
      </c>
    </row>
    <row r="11" ht="15.75" customHeight="1">
      <c r="C11" s="3">
        <v>25565.0</v>
      </c>
      <c r="D11" s="4">
        <f>SUM(D2:D10)</f>
        <v>7079</v>
      </c>
      <c r="E11" s="4">
        <f t="shared" si="1"/>
        <v>32644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